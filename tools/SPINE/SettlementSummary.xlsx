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Cook IVC\Cook IVC Filters\Cook Settlement\January 2026 Settlement Conference\"/>
    </mc:Choice>
  </mc:AlternateContent>
  <xr:revisionPtr revIDLastSave="0" documentId="13_ncr:1_{36D52258-5F02-4B7A-9BC1-1E3473D93F6A}" xr6:coauthVersionLast="47" xr6:coauthVersionMax="47" xr10:uidLastSave="{00000000-0000-0000-0000-000000000000}"/>
  <bookViews>
    <workbookView xWindow="-120" yWindow="-120" windowWidth="29040" windowHeight="15720" xr2:uid="{66B64AA3-0AF3-4D5C-848C-DF0A05D640AE}"/>
  </bookViews>
  <sheets>
    <sheet name="JustSettlementStatements_clean" sheetId="1" r:id="rId1"/>
  </sheets>
  <definedNames>
    <definedName name="_xlnm._FilterDatabase" localSheetId="0" hidden="1">JustSettlementStatements_clean!$A$1:$E$39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</calcChain>
</file>

<file path=xl/sharedStrings.xml><?xml version="1.0" encoding="utf-8"?>
<sst xmlns="http://schemas.openxmlformats.org/spreadsheetml/2006/main" count="158" uniqueCount="111">
  <si>
    <t>Plaintiff Name</t>
  </si>
  <si>
    <t>Case Number</t>
  </si>
  <si>
    <t>Injury Summary</t>
  </si>
  <si>
    <t>Product Brand</t>
  </si>
  <si>
    <t>Total Demanded</t>
  </si>
  <si>
    <t>Robert Tavares</t>
  </si>
  <si>
    <t>1:16-cv-02989</t>
  </si>
  <si>
    <t>Cook Celect</t>
  </si>
  <si>
    <t>Adeline Brown</t>
  </si>
  <si>
    <t>1:17-cv-02446</t>
  </si>
  <si>
    <t>Grade 2 perforation with embedded and tilted device; irretrievable</t>
  </si>
  <si>
    <t>Viviano Rodriguez</t>
  </si>
  <si>
    <t>1:17-cv-02616</t>
  </si>
  <si>
    <t>Grade 2 perforation with embedded and tilted device</t>
  </si>
  <si>
    <t>Cook Gunther Tulip</t>
  </si>
  <si>
    <t>Teresa Whetstone</t>
  </si>
  <si>
    <t>1:17-cv-02671</t>
  </si>
  <si>
    <t>William Heeb</t>
  </si>
  <si>
    <t>1:17-cv-02672</t>
  </si>
  <si>
    <t>Grade 2 perforation with tilted device</t>
  </si>
  <si>
    <t>Jennifer Varela</t>
  </si>
  <si>
    <t>1:17-cv-02759</t>
  </si>
  <si>
    <t>Candy Freker</t>
  </si>
  <si>
    <t>1:17-cv-02774</t>
  </si>
  <si>
    <t>Lacoyla Crump</t>
  </si>
  <si>
    <t>1:17-cv-02796</t>
  </si>
  <si>
    <t>Grade 3 perforation with embedded and tilted device</t>
  </si>
  <si>
    <t>Derrill Everette</t>
  </si>
  <si>
    <t>1:17-cv-02799</t>
  </si>
  <si>
    <t>William Phillips</t>
  </si>
  <si>
    <t>1:17-cv-02851</t>
  </si>
  <si>
    <t>Latina Lindstrom o/b/o Everett Fike, deceased</t>
  </si>
  <si>
    <t>1:17-cv-02921</t>
  </si>
  <si>
    <t>Debra Beltran</t>
  </si>
  <si>
    <t>1:17-cv-02922</t>
  </si>
  <si>
    <t>Grade 2 perforation with embedded device; irretrievable</t>
  </si>
  <si>
    <t>Henry Jackson</t>
  </si>
  <si>
    <t>1:17-cv-03388</t>
  </si>
  <si>
    <t>Reuben James</t>
  </si>
  <si>
    <t>1:17-cv-03389</t>
  </si>
  <si>
    <t>Desmund Hicks o/b/o, Heron Anderson-Cotton, Deceased</t>
  </si>
  <si>
    <t>1:17-cv-03525</t>
  </si>
  <si>
    <t>Betty Estrada</t>
  </si>
  <si>
    <t>1:17-cv-03526</t>
  </si>
  <si>
    <t>Grade 4 perforation with embedded and migrated device</t>
  </si>
  <si>
    <t>Brittany McGlothin</t>
  </si>
  <si>
    <t>1:17-cv-03528</t>
  </si>
  <si>
    <t>Linda Tuschmann o/b/o Anne Bright, deceased</t>
  </si>
  <si>
    <t>1:17-cv-03698</t>
  </si>
  <si>
    <t>Marjorie Pearl</t>
  </si>
  <si>
    <t>1:17-cv-03785</t>
  </si>
  <si>
    <t>Grade 2 perforation with embedded device; retrieval attempt failed; irretrievable</t>
  </si>
  <si>
    <t>Shirley Stout</t>
  </si>
  <si>
    <t>1:17-cv-04046</t>
  </si>
  <si>
    <t>Grade 2 perforation</t>
  </si>
  <si>
    <t>Mania Castile</t>
  </si>
  <si>
    <t>1:19-cv-03353</t>
  </si>
  <si>
    <t>Grade 2 perforation with embedded device</t>
  </si>
  <si>
    <t>Randall Hines</t>
  </si>
  <si>
    <t>1:19-cv-03366</t>
  </si>
  <si>
    <t>William Porritt</t>
  </si>
  <si>
    <t>1:19-cv-03369</t>
  </si>
  <si>
    <t>Todd Gabryszak</t>
  </si>
  <si>
    <t>1:19-cv-03372</t>
  </si>
  <si>
    <t>Robert Sheard, Jr.</t>
  </si>
  <si>
    <t>1:19-cv-03373</t>
  </si>
  <si>
    <t>William Homsher</t>
  </si>
  <si>
    <t>1:19-cv-03374</t>
  </si>
  <si>
    <t>Jose Salvatierra</t>
  </si>
  <si>
    <t>1:19-cv-03375</t>
  </si>
  <si>
    <t>Shirley Dunlap</t>
  </si>
  <si>
    <t>1:19-cv-03386</t>
  </si>
  <si>
    <t>Vonda Webb</t>
  </si>
  <si>
    <t>1:19-cv-03387</t>
  </si>
  <si>
    <t>James Swayze</t>
  </si>
  <si>
    <t>1:19-cv-03391</t>
  </si>
  <si>
    <t>Lillie Morris</t>
  </si>
  <si>
    <t>1:19-cv-03392</t>
  </si>
  <si>
    <t>Yolanda Harper-Smith</t>
  </si>
  <si>
    <t>1:19-cv-03403</t>
  </si>
  <si>
    <t>Anthony Jones</t>
  </si>
  <si>
    <t>1:19-cv-03407</t>
  </si>
  <si>
    <t>Elvin Shane Turner</t>
  </si>
  <si>
    <t>1:19-cv-03408</t>
  </si>
  <si>
    <t>Diana Voorhies Foster</t>
  </si>
  <si>
    <t>1:19-cv-03410</t>
  </si>
  <si>
    <t>Grade 2 perforation with embedded, tilted and migrated device</t>
  </si>
  <si>
    <t>Michael Hamsley</t>
  </si>
  <si>
    <t>1:19-cv-03411</t>
  </si>
  <si>
    <t>Thomas Stewart o/b/o Tammy Stewart</t>
  </si>
  <si>
    <t>1:20-cv-03079</t>
  </si>
  <si>
    <t>TOTAL</t>
  </si>
  <si>
    <t>Grade 2 perforation with embedded and tilted device; irretrievable after unsuccessful retrieval attempt</t>
  </si>
  <si>
    <t>Grade 2 perforation with embedded and tilted device; recommendation against retrieval</t>
  </si>
  <si>
    <t>Penney Goodwin</t>
  </si>
  <si>
    <t>1:17-cv-02775</t>
  </si>
  <si>
    <t>Fractured device; Grade 2 perforation with embedded and significantly tilted (20°) device in a dangerous location near the spine; irretrievable</t>
  </si>
  <si>
    <t>Open abdominal removal; Grade 4 perforation with embedded, tilted and migrated device into the duodenum</t>
  </si>
  <si>
    <t>Filter caused excessive clot formation and impaired blood flow</t>
  </si>
  <si>
    <t>Fractured device with perforation and embedment; prong left in the IVC</t>
  </si>
  <si>
    <t>Fractured device; Grade 2 perforation with embedded, tilted and migrated device in a dangerous location into the vertebra; irretrievable</t>
  </si>
  <si>
    <t>Fractured device; Grade 4 perforation with ~6 mm strut penetration into multiple dangerous locations (aorta, duodenum, vertebra)</t>
  </si>
  <si>
    <t>Fractured device; Grade 4 perforation with embedded, tilted and migrated device with ~13 mm strut penetration into a dangerous location in the right kidney; irretrievable</t>
  </si>
  <si>
    <t>Grade 2 perforation with embedded, tilted and migrated device in a dangerous location with ~6 mm strut penetration into the aorta and duodenum</t>
  </si>
  <si>
    <t>Grade 3 perforation with embedded, tilted and migrated device in a dangerous location with ~8 mm strut penetration into the vertebra</t>
  </si>
  <si>
    <t>Grade 4 perforation into peritoneal fat</t>
  </si>
  <si>
    <t>Grade 4 perforation into a dangerous location in the aorta and psoas</t>
  </si>
  <si>
    <t>Grade 4 perforation with ~23 mm strut penetration into a dangerous location in the aorta</t>
  </si>
  <si>
    <t>Grade 4 perforation with embedded device in a dangerous location into the aorta</t>
  </si>
  <si>
    <t>Grade 4 perforation with embedded device in a dangerous location into the psoas and vertebra</t>
  </si>
  <si>
    <t>Grade 4 perforation with embedded, tilted and migrated device in a dangerous location into the retroperitoneum and vertebra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</si>
</sst>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10" xfId="42" applyNumberFormat="1" applyFont="1" applyBorder="1"/>
    <xf numFmtId="0" fontId="16" fillId="0" borderId="10" xfId="0" applyFont="1" applyFill="1" applyBorder="1"/>
    <xf numFmtId="166" fontId="16" fillId="0" borderId="10" xfId="0" applyNumberFormat="1" applyFont="1" applyBorder="1"/>
    <xf numFmtId="44" fontId="0" fillId="0" borderId="0" xfId="0" applyNumberFormat="1"/>
    <xf numFmtId="166" fontId="0" fillId="0" borderId="1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065E-E265-4B33-B653-AD2172BFB02E}">
  <dimension ref="A1:E42"/>
  <sheetViews>
    <sheetView tabSelected="1" topLeftCell="A4" workbookViewId="0">
      <selection activeCell="A40" sqref="A40:XFD40"/>
    </sheetView>
  </sheetViews>
  <sheetFormatPr defaultRowHeight="15" x14ac:dyDescent="0.25"/>
  <cols>
    <col min="1" max="1" width="52.5703125" bestFit="1" customWidth="1"/>
    <col min="2" max="2" width="13.42578125" style="4" bestFit="1" customWidth="1"/>
    <col min="3" max="3" width="151.42578125" bestFit="1" customWidth="1"/>
    <col min="4" max="4" width="18" bestFit="1" customWidth="1"/>
    <col min="5" max="5" width="15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15</v>
      </c>
      <c r="B2" s="3" t="s">
        <v>16</v>
      </c>
      <c r="C2" s="1" t="s">
        <v>97</v>
      </c>
      <c r="D2" s="1" t="s">
        <v>7</v>
      </c>
      <c r="E2" s="5">
        <v>781500</v>
      </c>
    </row>
    <row r="3" spans="1:5" x14ac:dyDescent="0.25">
      <c r="A3" s="1" t="s">
        <v>38</v>
      </c>
      <c r="B3" s="3" t="s">
        <v>39</v>
      </c>
      <c r="C3" s="1" t="s">
        <v>107</v>
      </c>
      <c r="D3" s="1" t="s">
        <v>7</v>
      </c>
      <c r="E3" s="5">
        <v>772500</v>
      </c>
    </row>
    <row r="4" spans="1:5" x14ac:dyDescent="0.25">
      <c r="A4" s="1" t="s">
        <v>94</v>
      </c>
      <c r="B4" s="3" t="s">
        <v>95</v>
      </c>
      <c r="C4" s="1" t="s">
        <v>96</v>
      </c>
      <c r="D4" s="1" t="s">
        <v>7</v>
      </c>
      <c r="E4" s="9">
        <v>340000</v>
      </c>
    </row>
    <row r="5" spans="1:5" x14ac:dyDescent="0.25">
      <c r="A5" s="1" t="s">
        <v>22</v>
      </c>
      <c r="B5" s="3" t="s">
        <v>23</v>
      </c>
      <c r="C5" s="1" t="s">
        <v>100</v>
      </c>
      <c r="D5" s="1" t="s">
        <v>7</v>
      </c>
      <c r="E5" s="5">
        <v>340000</v>
      </c>
    </row>
    <row r="6" spans="1:5" x14ac:dyDescent="0.25">
      <c r="A6" s="1" t="s">
        <v>36</v>
      </c>
      <c r="B6" s="3" t="s">
        <v>37</v>
      </c>
      <c r="C6" s="1" t="s">
        <v>99</v>
      </c>
      <c r="D6" s="1" t="s">
        <v>7</v>
      </c>
      <c r="E6" s="5">
        <v>323000</v>
      </c>
    </row>
    <row r="7" spans="1:5" x14ac:dyDescent="0.25">
      <c r="A7" s="1" t="s">
        <v>5</v>
      </c>
      <c r="B7" s="3" t="s">
        <v>6</v>
      </c>
      <c r="C7" s="1" t="s">
        <v>102</v>
      </c>
      <c r="D7" s="1" t="s">
        <v>7</v>
      </c>
      <c r="E7" s="5">
        <v>273000</v>
      </c>
    </row>
    <row r="8" spans="1:5" x14ac:dyDescent="0.25">
      <c r="A8" s="1" t="s">
        <v>62</v>
      </c>
      <c r="B8" s="3" t="s">
        <v>63</v>
      </c>
      <c r="C8" s="1" t="s">
        <v>108</v>
      </c>
      <c r="D8" s="1" t="s">
        <v>7</v>
      </c>
      <c r="E8" s="5">
        <v>198000</v>
      </c>
    </row>
    <row r="9" spans="1:5" x14ac:dyDescent="0.25">
      <c r="A9" s="1" t="s">
        <v>89</v>
      </c>
      <c r="B9" s="3" t="s">
        <v>90</v>
      </c>
      <c r="C9" s="1" t="s">
        <v>106</v>
      </c>
      <c r="D9" s="1" t="s">
        <v>7</v>
      </c>
      <c r="E9" s="5">
        <v>195000</v>
      </c>
    </row>
    <row r="10" spans="1:5" x14ac:dyDescent="0.25">
      <c r="A10" s="1" t="s">
        <v>27</v>
      </c>
      <c r="B10" s="3" t="s">
        <v>28</v>
      </c>
      <c r="C10" s="1" t="s">
        <v>109</v>
      </c>
      <c r="D10" s="1" t="s">
        <v>7</v>
      </c>
      <c r="E10" s="5">
        <v>185500</v>
      </c>
    </row>
    <row r="11" spans="1:5" x14ac:dyDescent="0.25">
      <c r="A11" s="1" t="s">
        <v>72</v>
      </c>
      <c r="B11" s="3" t="s">
        <v>73</v>
      </c>
      <c r="C11" s="1" t="s">
        <v>101</v>
      </c>
      <c r="D11" s="1" t="s">
        <v>7</v>
      </c>
      <c r="E11" s="5">
        <v>182500</v>
      </c>
    </row>
    <row r="12" spans="1:5" x14ac:dyDescent="0.25">
      <c r="A12" s="1" t="s">
        <v>70</v>
      </c>
      <c r="B12" s="3" t="s">
        <v>71</v>
      </c>
      <c r="C12" s="1" t="s">
        <v>108</v>
      </c>
      <c r="D12" s="1" t="s">
        <v>7</v>
      </c>
      <c r="E12" s="5">
        <v>163500</v>
      </c>
    </row>
    <row r="13" spans="1:5" x14ac:dyDescent="0.25">
      <c r="A13" s="1" t="s">
        <v>80</v>
      </c>
      <c r="B13" s="3" t="s">
        <v>81</v>
      </c>
      <c r="C13" s="1" t="s">
        <v>110</v>
      </c>
      <c r="D13" s="1" t="s">
        <v>14</v>
      </c>
      <c r="E13" s="5">
        <v>163000</v>
      </c>
    </row>
    <row r="14" spans="1:5" x14ac:dyDescent="0.25">
      <c r="A14" s="1" t="s">
        <v>68</v>
      </c>
      <c r="B14" s="3" t="s">
        <v>69</v>
      </c>
      <c r="C14" s="1" t="s">
        <v>104</v>
      </c>
      <c r="D14" s="1" t="s">
        <v>7</v>
      </c>
      <c r="E14" s="5">
        <v>135500</v>
      </c>
    </row>
    <row r="15" spans="1:5" x14ac:dyDescent="0.25">
      <c r="A15" s="1" t="s">
        <v>31</v>
      </c>
      <c r="B15" s="3" t="s">
        <v>32</v>
      </c>
      <c r="C15" s="1" t="s">
        <v>10</v>
      </c>
      <c r="D15" s="1" t="s">
        <v>14</v>
      </c>
      <c r="E15" s="5">
        <v>120500</v>
      </c>
    </row>
    <row r="16" spans="1:5" x14ac:dyDescent="0.25">
      <c r="A16" s="1" t="s">
        <v>45</v>
      </c>
      <c r="B16" s="3" t="s">
        <v>46</v>
      </c>
      <c r="C16" s="1" t="s">
        <v>35</v>
      </c>
      <c r="D16" s="1" t="s">
        <v>14</v>
      </c>
      <c r="E16" s="5">
        <v>118000</v>
      </c>
    </row>
    <row r="17" spans="1:5" x14ac:dyDescent="0.25">
      <c r="A17" s="1" t="s">
        <v>49</v>
      </c>
      <c r="B17" s="3" t="s">
        <v>50</v>
      </c>
      <c r="C17" s="1" t="s">
        <v>51</v>
      </c>
      <c r="D17" s="1" t="s">
        <v>7</v>
      </c>
      <c r="E17" s="5">
        <v>118000</v>
      </c>
    </row>
    <row r="18" spans="1:5" x14ac:dyDescent="0.25">
      <c r="A18" s="1" t="s">
        <v>33</v>
      </c>
      <c r="B18" s="3" t="s">
        <v>34</v>
      </c>
      <c r="C18" s="1" t="s">
        <v>35</v>
      </c>
      <c r="D18" s="1" t="s">
        <v>7</v>
      </c>
      <c r="E18" s="5">
        <v>110000</v>
      </c>
    </row>
    <row r="19" spans="1:5" x14ac:dyDescent="0.25">
      <c r="A19" s="1" t="s">
        <v>29</v>
      </c>
      <c r="B19" s="3" t="s">
        <v>30</v>
      </c>
      <c r="C19" s="1" t="s">
        <v>10</v>
      </c>
      <c r="D19" s="1" t="s">
        <v>14</v>
      </c>
      <c r="E19" s="5">
        <v>95500</v>
      </c>
    </row>
    <row r="20" spans="1:5" x14ac:dyDescent="0.25">
      <c r="A20" s="1" t="s">
        <v>24</v>
      </c>
      <c r="B20" s="3" t="s">
        <v>25</v>
      </c>
      <c r="C20" s="1" t="s">
        <v>26</v>
      </c>
      <c r="D20" s="1" t="s">
        <v>7</v>
      </c>
      <c r="E20" s="5">
        <v>84000</v>
      </c>
    </row>
    <row r="21" spans="1:5" x14ac:dyDescent="0.25">
      <c r="A21" s="1" t="s">
        <v>42</v>
      </c>
      <c r="B21" s="3" t="s">
        <v>43</v>
      </c>
      <c r="C21" s="1" t="s">
        <v>44</v>
      </c>
      <c r="D21" s="1" t="s">
        <v>14</v>
      </c>
      <c r="E21" s="5">
        <v>83000</v>
      </c>
    </row>
    <row r="22" spans="1:5" x14ac:dyDescent="0.25">
      <c r="A22" s="1" t="s">
        <v>8</v>
      </c>
      <c r="B22" s="3" t="s">
        <v>9</v>
      </c>
      <c r="C22" s="1" t="s">
        <v>92</v>
      </c>
      <c r="D22" s="1" t="s">
        <v>7</v>
      </c>
      <c r="E22" s="5">
        <v>68000</v>
      </c>
    </row>
    <row r="23" spans="1:5" x14ac:dyDescent="0.25">
      <c r="A23" s="1" t="s">
        <v>87</v>
      </c>
      <c r="B23" s="3" t="s">
        <v>88</v>
      </c>
      <c r="C23" s="1" t="s">
        <v>35</v>
      </c>
      <c r="D23" s="1" t="s">
        <v>7</v>
      </c>
      <c r="E23" s="5">
        <v>68000</v>
      </c>
    </row>
    <row r="24" spans="1:5" x14ac:dyDescent="0.25">
      <c r="A24" s="1" t="s">
        <v>20</v>
      </c>
      <c r="B24" s="3" t="s">
        <v>21</v>
      </c>
      <c r="C24" s="1" t="s">
        <v>105</v>
      </c>
      <c r="D24" s="1" t="s">
        <v>14</v>
      </c>
      <c r="E24" s="5">
        <v>65000</v>
      </c>
    </row>
    <row r="25" spans="1:5" x14ac:dyDescent="0.25">
      <c r="A25" s="1" t="s">
        <v>11</v>
      </c>
      <c r="B25" s="3" t="s">
        <v>12</v>
      </c>
      <c r="C25" s="1" t="s">
        <v>93</v>
      </c>
      <c r="D25" s="1" t="s">
        <v>14</v>
      </c>
      <c r="E25" s="5">
        <v>45500</v>
      </c>
    </row>
    <row r="26" spans="1:5" x14ac:dyDescent="0.25">
      <c r="A26" s="1" t="s">
        <v>40</v>
      </c>
      <c r="B26" s="3" t="s">
        <v>41</v>
      </c>
      <c r="C26" s="1" t="s">
        <v>35</v>
      </c>
      <c r="D26" s="1" t="s">
        <v>7</v>
      </c>
      <c r="E26" s="5">
        <v>45500</v>
      </c>
    </row>
    <row r="27" spans="1:5" x14ac:dyDescent="0.25">
      <c r="A27" s="1" t="s">
        <v>78</v>
      </c>
      <c r="B27" s="3" t="s">
        <v>79</v>
      </c>
      <c r="C27" s="1" t="s">
        <v>57</v>
      </c>
      <c r="D27" s="1" t="s">
        <v>7</v>
      </c>
      <c r="E27" s="5">
        <v>28500</v>
      </c>
    </row>
    <row r="28" spans="1:5" x14ac:dyDescent="0.25">
      <c r="A28" s="1" t="s">
        <v>76</v>
      </c>
      <c r="B28" s="3" t="s">
        <v>77</v>
      </c>
      <c r="C28" s="1" t="s">
        <v>13</v>
      </c>
      <c r="D28" s="1" t="s">
        <v>14</v>
      </c>
      <c r="E28" s="5">
        <v>20500</v>
      </c>
    </row>
    <row r="29" spans="1:5" x14ac:dyDescent="0.25">
      <c r="A29" s="1" t="s">
        <v>82</v>
      </c>
      <c r="B29" s="3" t="s">
        <v>83</v>
      </c>
      <c r="C29" s="1" t="s">
        <v>13</v>
      </c>
      <c r="D29" s="1" t="s">
        <v>14</v>
      </c>
      <c r="E29" s="5">
        <v>20500</v>
      </c>
    </row>
    <row r="30" spans="1:5" x14ac:dyDescent="0.25">
      <c r="A30" s="1" t="s">
        <v>84</v>
      </c>
      <c r="B30" s="3" t="s">
        <v>85</v>
      </c>
      <c r="C30" s="1" t="s">
        <v>86</v>
      </c>
      <c r="D30" s="1" t="s">
        <v>14</v>
      </c>
      <c r="E30" s="5">
        <v>20500</v>
      </c>
    </row>
    <row r="31" spans="1:5" x14ac:dyDescent="0.25">
      <c r="A31" s="1" t="s">
        <v>66</v>
      </c>
      <c r="B31" s="3" t="s">
        <v>67</v>
      </c>
      <c r="C31" s="1" t="s">
        <v>103</v>
      </c>
      <c r="D31" s="1" t="s">
        <v>7</v>
      </c>
      <c r="E31" s="5">
        <v>20500</v>
      </c>
    </row>
    <row r="32" spans="1:5" x14ac:dyDescent="0.25">
      <c r="A32" s="1" t="s">
        <v>17</v>
      </c>
      <c r="B32" s="3" t="s">
        <v>18</v>
      </c>
      <c r="C32" s="1" t="s">
        <v>19</v>
      </c>
      <c r="D32" s="1" t="s">
        <v>7</v>
      </c>
      <c r="E32" s="5">
        <v>20500</v>
      </c>
    </row>
    <row r="33" spans="1:5" x14ac:dyDescent="0.25">
      <c r="A33" s="1" t="s">
        <v>52</v>
      </c>
      <c r="B33" s="3" t="s">
        <v>53</v>
      </c>
      <c r="C33" s="1" t="s">
        <v>54</v>
      </c>
      <c r="D33" s="1" t="s">
        <v>7</v>
      </c>
      <c r="E33" s="5">
        <v>12500</v>
      </c>
    </row>
    <row r="34" spans="1:5" x14ac:dyDescent="0.25">
      <c r="A34" s="1" t="s">
        <v>58</v>
      </c>
      <c r="B34" s="3" t="s">
        <v>59</v>
      </c>
      <c r="C34" s="1" t="s">
        <v>54</v>
      </c>
      <c r="D34" s="1" t="s">
        <v>14</v>
      </c>
      <c r="E34" s="5">
        <v>12500</v>
      </c>
    </row>
    <row r="35" spans="1:5" x14ac:dyDescent="0.25">
      <c r="A35" s="1" t="s">
        <v>60</v>
      </c>
      <c r="B35" s="3" t="s">
        <v>61</v>
      </c>
      <c r="C35" s="1" t="s">
        <v>54</v>
      </c>
      <c r="D35" s="1" t="s">
        <v>14</v>
      </c>
      <c r="E35" s="5">
        <v>12500</v>
      </c>
    </row>
    <row r="36" spans="1:5" x14ac:dyDescent="0.25">
      <c r="A36" s="1" t="s">
        <v>64</v>
      </c>
      <c r="B36" s="3" t="s">
        <v>65</v>
      </c>
      <c r="C36" s="1" t="s">
        <v>54</v>
      </c>
      <c r="D36" s="1" t="s">
        <v>14</v>
      </c>
      <c r="E36" s="5">
        <v>12500</v>
      </c>
    </row>
    <row r="37" spans="1:5" x14ac:dyDescent="0.25">
      <c r="A37" s="1" t="s">
        <v>74</v>
      </c>
      <c r="B37" s="3" t="s">
        <v>75</v>
      </c>
      <c r="C37" s="1" t="s">
        <v>54</v>
      </c>
      <c r="D37" s="1" t="s">
        <v>14</v>
      </c>
      <c r="E37" s="5">
        <v>12500</v>
      </c>
    </row>
    <row r="38" spans="1:5" x14ac:dyDescent="0.25">
      <c r="A38" s="1" t="s">
        <v>55</v>
      </c>
      <c r="B38" s="3" t="s">
        <v>56</v>
      </c>
      <c r="C38" s="1" t="s">
        <v>57</v>
      </c>
      <c r="D38" s="1" t="s">
        <v>7</v>
      </c>
      <c r="E38" s="5">
        <v>12500</v>
      </c>
    </row>
    <row r="39" spans="1:5" x14ac:dyDescent="0.25">
      <c r="A39" s="1" t="s">
        <v>47</v>
      </c>
      <c r="B39" s="3" t="s">
        <v>48</v>
      </c>
      <c r="C39" s="1" t="s">
        <v>98</v>
      </c>
      <c r="D39" s="1" t="s">
        <v>7</v>
      </c>
      <c r="E39" s="5">
        <v>6000</v>
      </c>
    </row>
    <row r="40" spans="1:5" x14ac:dyDescent="0.25">
      <c r="D40" s="6" t="s">
        <v>91</v>
      </c>
      <c r="E40" s="7">
        <f>SUM(E2:E39)</f>
        <v>5286000</v>
      </c>
    </row>
    <row r="42" spans="1:5" x14ac:dyDescent="0.25">
      <c r="E42" s="8"/>
    </row>
  </sheetData>
  <autoFilter ref="A1:E39" xr:uid="{B58B065E-E265-4B33-B653-AD2172BFB02E}">
    <sortState xmlns:xlrd2="http://schemas.microsoft.com/office/spreadsheetml/2017/richdata2" ref="A2:E39">
      <sortCondition descending="1" ref="E1:E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JustSettlementStatements_clean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Taurin Robinson</cp:lastModifiedBy>
  <dcterms:created xsi:type="dcterms:W3CDTF">2026-01-07T20:19:23Z</dcterms:created>
  <dcterms:modified xsi:type="dcterms:W3CDTF">2026-01-07T22:11:31Z</dcterms:modified>
</cp:coreProperties>
</file>